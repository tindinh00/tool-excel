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3855B2C9-B15B-46D5-86F5-C4C334CEEF27}" xr6:coauthVersionLast="47" xr6:coauthVersionMax="47" xr10:uidLastSave="{00000000-0000-0000-0000-000000000000}"/>
  <bookViews>
    <workbookView xWindow="-120" yWindow="-120" windowWidth="29040" windowHeight="15840" xr2:uid="{6738A588-9E81-4724-BEE9-D63EB6740AE0}"/>
  </bookViews>
  <sheets>
    <sheet name="Sheet1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1" i="1" l="1"/>
  <c r="F15" i="1"/>
  <c r="F16" i="1" s="1"/>
  <c r="F14" i="1"/>
  <c r="B14" i="1"/>
  <c r="F13" i="1"/>
  <c r="B13" i="1"/>
  <c r="B8" i="1"/>
  <c r="F7" i="1"/>
  <c r="B7" i="1"/>
  <c r="F17" i="1" l="1"/>
  <c r="C18" i="1"/>
</calcChain>
</file>

<file path=xl/sharedStrings.xml><?xml version="1.0" encoding="utf-8"?>
<sst xmlns="http://schemas.openxmlformats.org/spreadsheetml/2006/main" count="39" uniqueCount="33">
  <si>
    <t>Công ty Cổ Phần Á Đông ADG</t>
  </si>
  <si>
    <t>178/4L Phan Đăng Lưu, Phường Đức Nhuận, Thành phố Hồ Chí Minh, Việt Nam</t>
  </si>
  <si>
    <t>ĐƠN MUA HÀNG</t>
  </si>
  <si>
    <t>Tên NCC</t>
  </si>
  <si>
    <t>CÔNG TY TNHH BAO BÌ BẾN THÀNH</t>
  </si>
  <si>
    <t>Ngày</t>
  </si>
  <si>
    <t>Địa chỉ</t>
  </si>
  <si>
    <t>Số</t>
  </si>
  <si>
    <t>Mã số thuế</t>
  </si>
  <si>
    <t>Loại tiền</t>
  </si>
  <si>
    <t>VND</t>
  </si>
  <si>
    <t>Điện thoại</t>
  </si>
  <si>
    <t/>
  </si>
  <si>
    <t>Fax</t>
  </si>
  <si>
    <t>Diễn giải</t>
  </si>
  <si>
    <t>Mã hàng</t>
  </si>
  <si>
    <t>Đơn vị</t>
  </si>
  <si>
    <t>Số lượng</t>
  </si>
  <si>
    <t>Đơn giá</t>
  </si>
  <si>
    <t>Thành tiền</t>
  </si>
  <si>
    <t>LLDPE FD21HN</t>
  </si>
  <si>
    <t>Kg</t>
  </si>
  <si>
    <t>LLDPE FD21HS</t>
  </si>
  <si>
    <t>Thuế suất thuế GTGT</t>
  </si>
  <si>
    <t>Tổng tiền</t>
  </si>
  <si>
    <t>Tiền thuế GTGT</t>
  </si>
  <si>
    <t>Tổng tiền thanh toán</t>
  </si>
  <si>
    <t>Số tiền viết bằng chữ</t>
  </si>
  <si>
    <t>Ngày giao hàng</t>
  </si>
  <si>
    <t>Địa điểm giao hàng</t>
  </si>
  <si>
    <t>Tại kho Công ty Cổ Phần Á Đông ADG</t>
  </si>
  <si>
    <t>Điều khoản thanh toán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</si>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</sst>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(* #,##0.0000_);_(* \(#,##0.0000\);_(* &quot;-&quot;??_);_(@_)"/>
    <numFmt numFmtId="166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2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top"/>
    </xf>
    <xf numFmtId="0" fontId="2" fillId="0" borderId="0" xfId="0" applyFont="1" applyAlignment="1">
      <alignment horizontal="left" vertical="center" wrapText="1"/>
    </xf>
    <xf numFmtId="14" fontId="5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 wrapText="1" shrinkToFit="1"/>
    </xf>
    <xf numFmtId="0" fontId="4" fillId="0" borderId="0" xfId="0" applyFont="1" applyAlignment="1">
      <alignment vertical="top" wrapText="1" shrinkToFit="1"/>
    </xf>
    <xf numFmtId="0" fontId="5" fillId="0" borderId="0" xfId="0" applyFont="1" applyAlignment="1">
      <alignment vertical="top" wrapText="1" shrinkToFit="1"/>
    </xf>
    <xf numFmtId="0" fontId="2" fillId="0" borderId="0" xfId="0" quotePrefix="1" applyFont="1" applyAlignment="1">
      <alignment horizontal="left" vertical="center"/>
    </xf>
    <xf numFmtId="0" fontId="2" fillId="0" borderId="0" xfId="0" quotePrefix="1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vertical="top"/>
    </xf>
    <xf numFmtId="0" fontId="2" fillId="0" borderId="1" xfId="0" applyFont="1" applyBorder="1" applyAlignment="1">
      <alignment horizontal="left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/>
    </xf>
    <xf numFmtId="164" fontId="7" fillId="0" borderId="3" xfId="2" applyNumberFormat="1" applyFont="1" applyFill="1" applyBorder="1" applyAlignment="1">
      <alignment horizontal="center" vertical="center"/>
    </xf>
    <xf numFmtId="165" fontId="7" fillId="0" borderId="3" xfId="2" applyNumberFormat="1" applyFont="1" applyFill="1" applyBorder="1" applyAlignment="1">
      <alignment horizontal="center" vertical="center"/>
    </xf>
    <xf numFmtId="41" fontId="2" fillId="0" borderId="3" xfId="1" applyFont="1" applyBorder="1" applyAlignment="1">
      <alignment vertical="center"/>
    </xf>
    <xf numFmtId="0" fontId="2" fillId="0" borderId="6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9" fontId="8" fillId="0" borderId="3" xfId="0" applyNumberFormat="1" applyFont="1" applyBorder="1" applyAlignment="1">
      <alignment horizontal="center" vertical="center"/>
    </xf>
    <xf numFmtId="41" fontId="8" fillId="0" borderId="6" xfId="1" applyFont="1" applyBorder="1" applyAlignment="1">
      <alignment vertical="center"/>
    </xf>
    <xf numFmtId="0" fontId="2" fillId="0" borderId="3" xfId="0" applyFont="1" applyBorder="1" applyAlignment="1">
      <alignment horizontal="left" vertical="center" wrapText="1"/>
    </xf>
    <xf numFmtId="166" fontId="8" fillId="0" borderId="3" xfId="1" applyNumberFormat="1" applyFont="1" applyBorder="1" applyAlignment="1">
      <alignment vertical="center"/>
    </xf>
    <xf numFmtId="41" fontId="8" fillId="0" borderId="3" xfId="1" applyFont="1" applyBorder="1" applyAlignment="1">
      <alignment vertical="center"/>
    </xf>
    <xf numFmtId="0" fontId="2" fillId="0" borderId="5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vertical="top"/>
    </xf>
    <xf numFmtId="0" fontId="2" fillId="0" borderId="13" xfId="0" applyFont="1" applyBorder="1" applyAlignment="1">
      <alignment horizontal="left" vertical="center"/>
    </xf>
  </cellXfs>
  <cellStyles count="3">
    <cellStyle name="Comma [0]" xfId="1" builtinId="6"/>
    <cellStyle name="Comma 10" xfId="2" xr:uid="{ADC62971-245B-4DB9-A345-331168DB521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ownloads\DON%20MUA%20HANG%20289.xlsm" TargetMode="External"/><Relationship Id="rId1" Type="http://schemas.openxmlformats.org/officeDocument/2006/relationships/externalLinkPath" Target="DON%20MUA%20HANG%20289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ownloads\AccHelper\Doiso.xla" TargetMode="External"/><Relationship Id="rId1" Type="http://schemas.openxmlformats.org/officeDocument/2006/relationships/externalLinkPath" Target="AccHelper/Doiso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BBT"/>
      <sheetName val="HANG"/>
      <sheetName val="DATA"/>
      <sheetName val="chữ ký"/>
    </sheetNames>
    <sheetDataSet>
      <sheetData sheetId="0"/>
      <sheetData sheetId="1"/>
      <sheetData sheetId="2">
        <row r="2">
          <cell r="A2" t="str">
            <v>CÔNG TY TNHH THƯƠNG MẠI SẢN XUẤT NHỰA NHẬT PHONG</v>
          </cell>
          <cell r="B2" t="str">
            <v>672A29 Phan Văn Trị, Phường 10, Quận Gò Vấp, Thành Phố Hồ Chí Minh, Việt Nam</v>
          </cell>
          <cell r="C2" t="str">
            <v>0315198603</v>
          </cell>
        </row>
        <row r="3">
          <cell r="A3" t="str">
            <v>CÔNG TY CỔ PHẦN THƯƠNG MẠI DỊCH VỤ TÂM ĐỨC TÍN</v>
          </cell>
          <cell r="B3" t="str">
            <v>482/11/14A Nơ Trang Long, Phường 13, Quận Bình Thạnh, Thành phố Hồ Chí Minh, Việt Nam</v>
          </cell>
          <cell r="C3" t="str">
            <v>0311338218</v>
          </cell>
        </row>
        <row r="4">
          <cell r="A4" t="str">
            <v>CÔNG TY TNHH THƯƠNG MẠI NHỰA CAO THĂNG</v>
          </cell>
          <cell r="B4" t="str">
            <v>173 Nguyễn Trãi, Phường 02, Quận 5, Thành phố Hồ Chí Minh, Việt Nam</v>
          </cell>
          <cell r="C4" t="str">
            <v>0313357022</v>
          </cell>
        </row>
        <row r="5">
          <cell r="A5" t="str">
            <v>CÔNG TY TNHH MTV NHỰA PHÚ TRUNG</v>
          </cell>
          <cell r="B5" t="str">
            <v>46 Điện Biên Phủ, Phường Chính Gián, Quận Thanh Khê, Thành phố Đà Nẵng, Việt Nam</v>
          </cell>
          <cell r="C5" t="str">
            <v>0 4 0 2 1 6 5 0 7 2</v>
          </cell>
        </row>
        <row r="6">
          <cell r="A6" t="str">
            <v>CÔNG TY TNHH BAO BÌ TẤN PHONG</v>
          </cell>
          <cell r="B6" t="str">
            <v>284/1 Hòa Bình, Phường Hiệp Tân, Quận Tân Phú, TP. Hồ Chí Minh, Việt Nam</v>
          </cell>
          <cell r="C6" t="str">
            <v>0306095778</v>
          </cell>
        </row>
        <row r="7">
          <cell r="A7" t="str">
            <v>CÔNG TY TNHH ĐẦU TƯ SAO MAI PHÚ QUỐC</v>
          </cell>
          <cell r="B7" t="str">
            <v>43 Thạnh Mỹ Lợi, Phường Thạnh Mỹ Lợi, Quận 2, Thành phố Hồ Chí Minh</v>
          </cell>
          <cell r="C7" t="str">
            <v>0316072498</v>
          </cell>
        </row>
        <row r="8">
          <cell r="A8" t="str">
            <v>CÔNG TY CỔ PHẦN ĐẦU TƯ HƯNG ĐÔNG</v>
          </cell>
          <cell r="B8" t="str">
            <v xml:space="preserve"> 33/3K Ấp 3, Xã Xuân Thới Sơn, Huyện Hóc Môn, Thành phố Hồ Chí Minh, Việt Nam</v>
          </cell>
          <cell r="C8" t="str">
            <v>0312372187</v>
          </cell>
        </row>
        <row r="9">
          <cell r="A9" t="str">
            <v>CÔNG TY TNHH THƯƠNG MẠI DỊCH VỤ HANNY VIỆT NAM</v>
          </cell>
          <cell r="B9" t="str">
            <v>75/5B Đường Bình Quới, Phường 27, Quận Bình Thạnh, Thành phố Hồ Chí Minh</v>
          </cell>
          <cell r="C9" t="str">
            <v>0315555862</v>
          </cell>
        </row>
        <row r="10">
          <cell r="A10" t="str">
            <v>CÔNG TY TNHH MTV NHỰA TÍN HƯNG</v>
          </cell>
          <cell r="B10" t="str">
            <v>2/48 Khu phố Bình Đường 1, Phường An Bình, Thành phố Dĩ An, Tỉnh Bình Dương, Việt Nam</v>
          </cell>
          <cell r="C10" t="str">
            <v>3703084591</v>
          </cell>
        </row>
        <row r="11">
          <cell r="A11" t="str">
            <v>CÔNG TY CỔ PHẦN DRAGON LEADER</v>
          </cell>
          <cell r="B11" t="str">
            <v>262A đường Pasteur, Phường Võ Thị Sáu, Quận 3, Thành phố Hồ Chí Minh, Việt Nam</v>
          </cell>
          <cell r="C11" t="str">
            <v>0 3 1 6 2 4 6 9 8 7</v>
          </cell>
        </row>
        <row r="12">
          <cell r="A12" t="str">
            <v>CÔNG TY TNHH BAO BÌ BẾN THÀNH</v>
          </cell>
          <cell r="B12" t="str">
            <v>Số 3, đường 18, khu hành chính Nhị Đồng 2, Phường Dĩ An, Thành phố Dĩ An, Tỉnh Bình Dương, Việt Nam</v>
          </cell>
          <cell r="C12" t="str">
            <v>3702420748</v>
          </cell>
        </row>
        <row r="13">
          <cell r="A13" t="str">
            <v>CHI NHÁNH PHÂN PHỐI NGUYÊN LIỆU CÔNG NGHIỆP DẦU KHÍ - CÔNG TY CỔ PHẦN THƯƠNG MẠI DỊCH VỤ DẦU KHÍ MIỀN TRUNG</v>
          </cell>
          <cell r="B13" t="str">
            <v>Lầu 6, Tòa nhà Petro Việt Nam, số 1-5 Lê Duẩn, Phường Bến Nghé, Quận 1, Thành phố Hồ Chí Minh, Việt Nam</v>
          </cell>
          <cell r="C13" t="str">
            <v>4 3 0 0 3 6 8 4 2 6 - 0 0 3</v>
          </cell>
        </row>
        <row r="14">
          <cell r="A14" t="str">
            <v>CÔNG TY TNHH THƯƠNG MẠI ĐỈNH CAO</v>
          </cell>
          <cell r="B14" t="str">
            <v>Tầng 1, Tòa Nhà Packsimex, 52 Đông Du, Phường Bến Nghé, Quận 1, Thành phố Hồ Chí Minh, Việt Nam</v>
          </cell>
          <cell r="C14" t="str">
            <v>0305088425</v>
          </cell>
        </row>
        <row r="15">
          <cell r="A15" t="str">
            <v>CÔNG TY TNHH CÔNG NGHIỆP AGRINA</v>
          </cell>
          <cell r="B15" t="str">
            <v>Số 38B đường Tỉnh Lộ 830D, Ấp 5, Xã Mỹ Yên, Huyện Bến Lức, Tỉnh Long An, Việt Nam</v>
          </cell>
          <cell r="C15" t="str">
            <v>1101746205</v>
          </cell>
        </row>
        <row r="16">
          <cell r="A16" t="str">
            <v>CÔNG TY TNHH SỢI DỆT MAY VIỆT NHẬT</v>
          </cell>
          <cell r="B16" t="str">
            <v>Số 700/01, Tổ 01, Khu phố Chiêu Liêu, PhườngTân Đông Hiệp, Thành phố Dĩ An, Tỉnh Bình Dương, Việt Nam</v>
          </cell>
          <cell r="C16" t="str">
            <v>3700675010</v>
          </cell>
        </row>
        <row r="17">
          <cell r="A17" t="str">
            <v>CHI NHÁNH CÔNG TY CỔ PHẦN HÓA CHẤT NHỰA ĐÀ NẴNG TẠI TP HỒ CHÍ MINH</v>
          </cell>
          <cell r="B17" t="str">
            <v>255 Đinh Bộ Lĩnh, Phường 26, Quận Bình Thạnh, Thành phố Hồ Chí Minh, Việt Nam</v>
          </cell>
          <cell r="C17" t="str">
            <v>0400432621-001</v>
          </cell>
        </row>
        <row r="18">
          <cell r="A18" t="str">
            <v>CÔNG TY TNHH MỘT THÀNH VIÊN THƯƠNG MẠI NHỰA VINH PHÁT</v>
          </cell>
          <cell r="B18" t="str">
            <v>241B Tân Hòa Đông, Phường 14, Quận 6, Thành phố Hồ Chí Minh, Việt Nam</v>
          </cell>
          <cell r="C18" t="str">
            <v>0314189596</v>
          </cell>
        </row>
        <row r="19">
          <cell r="A19" t="str">
            <v>CÔNG TY TNHH VINMOS</v>
          </cell>
          <cell r="B19" t="str">
            <v>Ấp Nhơn Hòa 1, Xã Đức Hòa Thượng, Huyện Đức Hoà, Tỉnh Long An, Việt Nam</v>
          </cell>
          <cell r="C19" t="str">
            <v>1101822343</v>
          </cell>
        </row>
        <row r="20">
          <cell r="A20" t="str">
            <v>CÔNG TY TNHH XNK TM HOÀNG PHÚC</v>
          </cell>
          <cell r="B20" t="str">
            <v>Ấp Kinh 2A, Xã Phước Lập, Huyện Tân Phước, Tỉnh Tiền Giang, Việt Nam</v>
          </cell>
          <cell r="C20" t="str">
            <v>1201443719</v>
          </cell>
        </row>
        <row r="21">
          <cell r="A21" t="str">
            <v>CÔNG TY TNHH THƯƠNG MẠI DỊCH VỤ VÀ DU LỊCH T.O.P VIỆT NAM</v>
          </cell>
          <cell r="B21" t="str">
            <v>Tầng 12, Toà nhà Sudico, Khu đô thị Mỹ Đình - Mễ Trì, Phường Mỹ Đình 1, Quận Nam Từ Liêm, Thành phố Hà Nội, Việt Nam</v>
          </cell>
          <cell r="C21" t="str">
            <v>0104540955</v>
          </cell>
        </row>
        <row r="22">
          <cell r="A22" t="str">
            <v>CÔNG TY CỔ PHẦN TẬP ĐOÀN VIỆT NAM THẾ GIỚI</v>
          </cell>
          <cell r="B22" t="str">
            <v>137/65 Lê Văn Sỹ, Phường 13, Quận Phú Nhuận, Thành phố Hồ Chí Minh, Việt Nam</v>
          </cell>
          <cell r="C22" t="str">
            <v>0313815498</v>
          </cell>
        </row>
        <row r="23">
          <cell r="A23" t="str">
            <v>CÔNG TY TNHH THƯƠNG MẠI DỊCH VỤ JP NHÂN HÒA</v>
          </cell>
          <cell r="B23" t="str">
            <v>197 Tô Hiến Thành, Phường 13, Quận 10, Thành phố Hồ Chí Minh, Việt Nam</v>
          </cell>
          <cell r="C23" t="str">
            <v>0316703168</v>
          </cell>
        </row>
        <row r="24">
          <cell r="A24" t="str">
            <v>CÔNG TY TNHH GC MARKETING SOLUTIONS VIỆT NAM</v>
          </cell>
          <cell r="B24" t="str">
            <v>Phòng 2A.1, Tầng 16, Tòa nhà AB Tower, 76A Lê Lai, Phường Bến Thành, Quận 1, Thành phố Hồ Chí Minh, Việt Nam</v>
          </cell>
          <cell r="C24" t="str">
            <v>117002783194</v>
          </cell>
        </row>
        <row r="25">
          <cell r="A25" t="str">
            <v>284/1 Hòa Bình, Phường Phú Thạnh, Thành phố Hồ Chí Minh, Việt Nam</v>
          </cell>
          <cell r="B25" t="str">
            <v>284/1 Hòa Bình, Phường Phú Thạnh, Thành phố Hồ Chí Minh, Việt Nam</v>
          </cell>
          <cell r="C25" t="str">
            <v>0 3 0 6 0 9 5 7 7 8</v>
          </cell>
        </row>
        <row r="26">
          <cell r="A26" t="str">
            <v>CÔNG TY CỔ PHẦN STAVIAN HÓA CHẤT</v>
          </cell>
          <cell r="B26" t="str">
            <v>Lô số 16, đường 206 khu A, Khu công nghiệp Phố Nối A, Xã Đình Dù, Huyện Văn Lâm, Tỉnh Hưng
Yên, Việt Nam</v>
          </cell>
          <cell r="C26" t="str">
            <v>0104160054</v>
          </cell>
        </row>
        <row r="27">
          <cell r="A27" t="str">
            <v>CÔNG TY TNHH HÓA DẦU LONG SƠN</v>
          </cell>
          <cell r="B27" t="str">
            <v>Thôn 2, Xã Long Sơn, Thành phố Vũng Tàu, Tỉnh Bà Rịa – Vũng Tàu, Việt Nam</v>
          </cell>
          <cell r="C27">
            <v>3500890966</v>
          </cell>
        </row>
        <row r="28">
          <cell r="A28" t="str">
            <v>CÔNG TY CỔ PHẦN BAO BÌ ĐẠI LỤC</v>
          </cell>
          <cell r="B28" t="str">
            <v>49/23 Lũy Bán Bích, Phường Tân Thới Hoà, Quận Tân Phú, Thành phố Hồ Chí Minh</v>
          </cell>
          <cell r="C28" t="str">
            <v>0 3 0 4 3 8 1 8 1 5</v>
          </cell>
        </row>
      </sheetData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definedNames>
      <definedName name="VND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734B4-A288-47F4-BE49-B05BD1F59A70}">
  <sheetPr codeName="Sheet1"/>
  <dimension ref="A1:F24"/>
  <sheetViews>
    <sheetView tabSelected="1" workbookViewId="0">
      <selection activeCell="C22" sqref="C22:F22"/>
    </sheetView>
  </sheetViews>
  <sheetFormatPr defaultRowHeight="15" x14ac:dyDescent="0.25"/>
  <cols>
    <col min="1" max="1" width="20.7109375" customWidth="1"/>
    <col min="2" max="2" width="24.5703125" customWidth="1"/>
    <col min="3" max="3" width="13" customWidth="1"/>
    <col min="4" max="4" width="15" customWidth="1"/>
    <col min="5" max="5" width="17" customWidth="1"/>
    <col min="6" max="6" width="19.28515625" customWidth="1"/>
  </cols>
  <sheetData>
    <row r="1" spans="1:6" ht="15.75" x14ac:dyDescent="0.25">
      <c r="A1" s="1" t="s">
        <v>0</v>
      </c>
      <c r="B1" s="1"/>
      <c r="C1" s="1"/>
      <c r="D1" s="1"/>
      <c r="E1" s="1"/>
      <c r="F1" s="1"/>
    </row>
    <row r="2" spans="1:6" ht="15.75" x14ac:dyDescent="0.25">
      <c r="A2" s="1" t="s">
        <v>1</v>
      </c>
      <c r="B2" s="1"/>
      <c r="C2" s="1"/>
      <c r="D2" s="1"/>
      <c r="E2" s="1"/>
      <c r="F2" s="1"/>
    </row>
    <row r="3" spans="1:6" x14ac:dyDescent="0.25">
      <c r="A3" s="2" t="s">
        <v>2</v>
      </c>
      <c r="B3" s="2"/>
      <c r="C3" s="2"/>
      <c r="D3" s="2"/>
      <c r="E3" s="2"/>
      <c r="F3" s="2"/>
    </row>
    <row r="4" spans="1:6" x14ac:dyDescent="0.25">
      <c r="A4" s="2"/>
      <c r="B4" s="2"/>
      <c r="C4" s="2"/>
      <c r="D4" s="2"/>
      <c r="E4" s="2"/>
      <c r="F4" s="2"/>
    </row>
    <row r="5" spans="1:6" x14ac:dyDescent="0.25">
      <c r="A5" s="2"/>
      <c r="B5" s="2"/>
      <c r="C5" s="2"/>
      <c r="D5" s="2"/>
      <c r="E5" s="2"/>
      <c r="F5" s="2"/>
    </row>
    <row r="6" spans="1:6" ht="15.75" x14ac:dyDescent="0.25">
      <c r="A6" s="3" t="s">
        <v>3</v>
      </c>
      <c r="B6" s="4" t="s">
        <v>4</v>
      </c>
      <c r="C6" s="4"/>
      <c r="D6" s="4"/>
      <c r="E6" s="3" t="s">
        <v>5</v>
      </c>
      <c r="F6" s="5">
        <v>46189</v>
      </c>
    </row>
    <row r="7" spans="1:6" ht="31.5" x14ac:dyDescent="0.25">
      <c r="A7" s="3" t="s">
        <v>6</v>
      </c>
      <c r="B7" s="6" t="str">
        <f>VLOOKUP(B6,[1]DATA!$A$2:$C$28,2,0)</f>
        <v>Số 3, đường 18, khu hành chính Nhị Đồng 2, Phường Dĩ An, Thành phố Dĩ An, Tỉnh Bình Dương, Việt Nam</v>
      </c>
      <c r="C7" s="6"/>
      <c r="D7" s="6"/>
      <c r="E7" s="7" t="s">
        <v>7</v>
      </c>
      <c r="F7" s="8" t="str">
        <f>"ĐMH-"&amp;G6&amp;"-"&amp;TEXT(F6,"yymmdd")&amp;"-"&amp;G7</f>
        <v>ĐMH--260616-</v>
      </c>
    </row>
    <row r="8" spans="1:6" ht="15.75" x14ac:dyDescent="0.25">
      <c r="A8" s="3" t="s">
        <v>8</v>
      </c>
      <c r="B8" s="9" t="str">
        <f>VLOOKUP(B6,[1]DATA!$A$2:$C$28,3,0)</f>
        <v>3702420748</v>
      </c>
      <c r="C8" s="9"/>
      <c r="D8" s="9"/>
      <c r="E8" s="3" t="s">
        <v>9</v>
      </c>
      <c r="F8" s="10" t="s">
        <v>10</v>
      </c>
    </row>
    <row r="9" spans="1:6" ht="15.75" x14ac:dyDescent="0.25">
      <c r="A9" s="3" t="s">
        <v>11</v>
      </c>
      <c r="B9" s="9" t="s">
        <v>12</v>
      </c>
      <c r="C9" s="9"/>
      <c r="D9" s="9"/>
      <c r="E9" s="3" t="s">
        <v>13</v>
      </c>
      <c r="F9" s="11" t="s">
        <v>12</v>
      </c>
    </row>
    <row r="10" spans="1:6" ht="15.75" x14ac:dyDescent="0.25">
      <c r="A10" s="3" t="s">
        <v>14</v>
      </c>
      <c r="B10" s="12"/>
      <c r="C10" s="12"/>
      <c r="D10" s="12"/>
      <c r="E10" s="12"/>
      <c r="F10" s="12"/>
    </row>
    <row r="11" spans="1:6" ht="15.75" x14ac:dyDescent="0.25">
      <c r="A11" s="3"/>
      <c r="B11" s="13"/>
      <c r="C11" s="14" t="s">
        <v>12</v>
      </c>
      <c r="D11" s="13"/>
      <c r="E11" s="13"/>
      <c r="F11" s="13"/>
    </row>
    <row r="12" spans="1:6" ht="15.75" x14ac:dyDescent="0.25">
      <c r="A12" s="15" t="s">
        <v>15</v>
      </c>
      <c r="B12" s="16" t="s">
        <v>14</v>
      </c>
      <c r="C12" s="16" t="s">
        <v>16</v>
      </c>
      <c r="D12" s="15" t="s">
        <v>17</v>
      </c>
      <c r="E12" s="15" t="s">
        <v>18</v>
      </c>
      <c r="F12" s="15" t="s">
        <v>19</v>
      </c>
    </row>
    <row r="13" spans="1:6" ht="31.5" x14ac:dyDescent="0.25">
      <c r="A13" s="17" t="s">
        <v>20</v>
      </c>
      <c r="B13" s="17" t="str">
        <f>"Hạt nhựa "&amp;A13</f>
        <v>Hạt nhựa LLDPE FD21HN</v>
      </c>
      <c r="C13" s="18" t="s">
        <v>21</v>
      </c>
      <c r="D13" s="19">
        <v>123750</v>
      </c>
      <c r="E13" s="20">
        <v>25879.6296</v>
      </c>
      <c r="F13" s="21">
        <f>+D13*E13+10</f>
        <v>3202604173</v>
      </c>
    </row>
    <row r="14" spans="1:6" ht="31.5" x14ac:dyDescent="0.25">
      <c r="A14" s="17" t="s">
        <v>22</v>
      </c>
      <c r="B14" s="17" t="str">
        <f t="shared" ref="B14" si="0">"Hạt nhựa "&amp;A14</f>
        <v>Hạt nhựa LLDPE FD21HS</v>
      </c>
      <c r="C14" s="18" t="s">
        <v>21</v>
      </c>
      <c r="D14" s="19">
        <v>123750</v>
      </c>
      <c r="E14" s="20">
        <v>32453.703699999998</v>
      </c>
      <c r="F14" s="21">
        <f t="shared" ref="F14" si="1">+D14*E14+10</f>
        <v>4016145842.875</v>
      </c>
    </row>
    <row r="15" spans="1:6" ht="15.75" x14ac:dyDescent="0.25">
      <c r="A15" s="22" t="s">
        <v>23</v>
      </c>
      <c r="B15" s="23"/>
      <c r="C15" s="24">
        <v>0.08</v>
      </c>
      <c r="D15" s="22" t="s">
        <v>24</v>
      </c>
      <c r="E15" s="22"/>
      <c r="F15" s="25">
        <f>SUM(F13:F14)</f>
        <v>7218750015.875</v>
      </c>
    </row>
    <row r="16" spans="1:6" ht="15.75" x14ac:dyDescent="0.25">
      <c r="A16" s="23"/>
      <c r="B16" s="23"/>
      <c r="C16" s="24"/>
      <c r="D16" s="26" t="s">
        <v>25</v>
      </c>
      <c r="E16" s="26"/>
      <c r="F16" s="27">
        <f>F15*0.08</f>
        <v>577500001.26999998</v>
      </c>
    </row>
    <row r="17" spans="1:6" ht="15.75" x14ac:dyDescent="0.25">
      <c r="A17" s="23"/>
      <c r="B17" s="23"/>
      <c r="C17" s="24"/>
      <c r="D17" s="23" t="s">
        <v>26</v>
      </c>
      <c r="E17" s="23"/>
      <c r="F17" s="28">
        <f>ROUND(F15+F16,0)</f>
        <v>7796250017</v>
      </c>
    </row>
    <row r="18" spans="1:6" x14ac:dyDescent="0.25">
      <c r="A18" s="23" t="s">
        <v>27</v>
      </c>
      <c r="B18" s="29"/>
      <c r="C18" s="30" t="str">
        <f>[2]!VND(F17)</f>
        <v>Bảy tỷ, bảy trăm chín mươi sáu triệu, hai trăm năm mươi ngàn, mười bảy đồng chẵn</v>
      </c>
      <c r="D18" s="31"/>
      <c r="E18" s="31"/>
      <c r="F18" s="32"/>
    </row>
    <row r="19" spans="1:6" x14ac:dyDescent="0.25">
      <c r="A19" s="23"/>
      <c r="B19" s="29"/>
      <c r="C19" s="33"/>
      <c r="D19" s="34"/>
      <c r="E19" s="34"/>
      <c r="F19" s="35"/>
    </row>
    <row r="20" spans="1:6" ht="15.75" x14ac:dyDescent="0.25">
      <c r="A20" s="36"/>
      <c r="B20" s="36"/>
      <c r="C20" s="37"/>
      <c r="D20" s="37"/>
      <c r="E20" s="37"/>
      <c r="F20" s="37"/>
    </row>
    <row r="21" spans="1:6" ht="15.75" x14ac:dyDescent="0.25">
      <c r="A21" s="1" t="s">
        <v>28</v>
      </c>
      <c r="B21" s="1"/>
      <c r="C21" s="38" t="str">
        <f>"Kể từ ngày "&amp;TEXT(F6,"DD/MM/YYYY")</f>
        <v>Kể từ ngày 16/06/2026</v>
      </c>
      <c r="D21" s="38"/>
      <c r="E21" s="38"/>
      <c r="F21" s="38"/>
    </row>
    <row r="22" spans="1:6" ht="15.75" x14ac:dyDescent="0.25">
      <c r="A22" s="1" t="s">
        <v>29</v>
      </c>
      <c r="B22" s="1"/>
      <c r="C22" s="39" t="s">
        <v>30</v>
      </c>
      <c r="D22" s="39"/>
      <c r="E22" s="39"/>
      <c r="F22" s="39"/>
    </row>
    <row r="23" spans="1:6" ht="15.75" x14ac:dyDescent="0.25">
      <c r="A23" s="1" t="s">
        <v>31</v>
      </c>
      <c r="B23" s="1"/>
      <c r="C23" s="39" t="s">
        <v>12</v>
      </c>
      <c r="D23" s="39"/>
      <c r="E23" s="39"/>
      <c r="F23" s="39"/>
    </row>
    <row r="24" spans="1:6" ht="15.75" x14ac:dyDescent="0.25">
      <c r="A24" s="1" t="s">
        <v>32</v>
      </c>
      <c r="B24" s="1"/>
      <c r="C24" s="39" t="s">
        <v>12</v>
      </c>
      <c r="D24" s="39"/>
      <c r="E24" s="39"/>
      <c r="F24" s="39"/>
    </row>
  </sheetData>
  <mergeCells count="22">
    <mergeCell ref="A24:B24"/>
    <mergeCell ref="C24:F24"/>
    <mergeCell ref="A18:B19"/>
    <mergeCell ref="C18:F19"/>
    <mergeCell ref="A21:B21"/>
    <mergeCell ref="A22:B22"/>
    <mergeCell ref="C22:F22"/>
    <mergeCell ref="A23:B23"/>
    <mergeCell ref="C23:F23"/>
    <mergeCell ref="B9:D9"/>
    <mergeCell ref="B10:F10"/>
    <mergeCell ref="A15:B17"/>
    <mergeCell ref="C15:C17"/>
    <mergeCell ref="D15:E15"/>
    <mergeCell ref="D16:E16"/>
    <mergeCell ref="D17:E17"/>
    <mergeCell ref="A1:F1"/>
    <mergeCell ref="A2:F2"/>
    <mergeCell ref="A3:F5"/>
    <mergeCell ref="B6:D6"/>
    <mergeCell ref="B7:D7"/>
    <mergeCell ref="B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Linh Evans</dc:creator>
  <cp:lastModifiedBy>Linh Evans</cp:lastModifiedBy>
  <dcterms:created xsi:type="dcterms:W3CDTF">2026-06-24T07:34:25Z</dcterms:created>
  <dcterms:modified xsi:type="dcterms:W3CDTF">2026-06-24T07:34:56Z</dcterms:modified>
</cp:coreProperties>
</file>