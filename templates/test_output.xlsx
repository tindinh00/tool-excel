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<sst xmlns="http://schemas.openxmlformats.org/spreadsheetml/2006/main" count="39" uniqueCount="33">
  <si>
    <t>Công ty Cổ Phần Á Đông ADG</t>
  </si>
  <si>
    <t>178/4L Phan Đăng Lưu, Phường Đức Nhuận, Thành phố Hồ Chí Minh, Việt Nam</t>
  </si>
  <si>
    <t>ĐƠN MUA HÀNG</t>
  </si>
  <si>
    <t>Tên NCC</t>
  </si>
  <si>
    <t>CÔNG TY TNHH BAO BÌ BẾN THÀNH</t>
  </si>
  <si>
    <t>Ngày</t>
  </si>
  <si>
    <t>Địa chỉ</t>
  </si>
  <si>
    <t>Số</t>
  </si>
  <si>
    <t>Mã số thuế</t>
  </si>
  <si>
    <t>Loại tiền</t>
  </si>
  <si>
    <t>VND</t>
  </si>
  <si>
    <t>Điện thoại</t>
  </si>
  <si>
    <t/>
  </si>
  <si>
    <t>Fax</t>
  </si>
  <si>
    <t>Diễn giải</t>
  </si>
  <si>
    <t>Mã hàng</t>
  </si>
  <si>
    <t>Đơn vị</t>
  </si>
  <si>
    <t>Số lượng</t>
  </si>
  <si>
    <t>Đơn giá</t>
  </si>
  <si>
    <t>Thành tiền</t>
  </si>
  <si>
    <t>LLDPE FD21HN</t>
  </si>
  <si>
    <t>Kg</t>
  </si>
  <si>
    <t>LLDPE FD21HS</t>
  </si>
  <si>
    <t>Thuế suất thuế GTGT</t>
  </si>
  <si>
    <t>Tổng tiền</t>
  </si>
  <si>
    <t>Tiền thuế GTGT</t>
  </si>
  <si>
    <t>Tổng tiền thanh toán</t>
  </si>
  <si>
    <t>Số tiền viết bằng chữ</t>
  </si>
  <si>
    <t>Ngày giao hàng</t>
  </si>
  <si>
    <t>Địa điểm giao hàng</t>
  </si>
  <si>
    <t>Tại kho Công ty Cổ Phần Á Đông ADG</t>
  </si>
  <si>
    <t>Điều khoản thanh toán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</si>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</sst>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00_);_(* (#,##0.0000);_(* &quot;-&quot;??_);_(@_)"/>
    <numFmt numFmtId="166" formatCode="_(* #,##0_);_(* (#,##0);_(* &quot;-&quot;_);_(@_)"/>
    <numFmt numFmtId="167" formatCode="_-* #,##0_-;-* #,##0_-;_-* &quot;-&quot;??_-;_-@_-"/>
  </numFmts>
  <fonts count="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6"/>
      <name val="Times New Roman"/>
    </font>
    <font>
      <b/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000000"/>
      <family val="2"/>
      <sz val="11"/>
      <name val="Calibri"/>
    </font>
    <font>
      <b/>
      <color theme="1"/>
      <family val="2"/>
      <sz val="12"/>
      <name val="Arial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 shrinkToFit="1"/>
    </xf>
    <xf numFmtId="0" fontId="3" fillId="0" borderId="0" xfId="0" applyFont="1" applyAlignment="1">
      <alignment vertical="top" wrapText="1" shrinkToFit="1"/>
    </xf>
    <xf numFmtId="0" fontId="4" fillId="0" borderId="0" xfId="0" applyFont="1" applyAlignment="1">
      <alignment vertical="top" wrapText="1" shrinkToFi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167" fontId="6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166" fontId="6" fillId="0" borderId="3" xfId="0" applyNumberFormat="1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zoomScale="100" zoomScaleNormal="100">
      <selection activeCell="C22" sqref="C22"/>
    </sheetView>
  </sheetViews>
  <sheetFormatPr defaultRowHeight="15" outlineLevelRow="0" outlineLevelCol="0" x14ac:dyDescent="0.25"/>
  <cols>
    <col min="1" max="1" width="20.7109375" customWidth="1"/>
    <col min="2" max="2" width="24.5703125" customWidth="1"/>
    <col min="3" max="3" width="13" customWidth="1"/>
    <col min="4" max="4" width="15" customWidth="1"/>
    <col min="5" max="5" width="17" customWidth="1"/>
    <col min="6" max="6" width="19.28515625" customWidth="1"/>
  </cols>
  <sheetData>
    <row r="1" ht="15.75" customHeight="1" spans="1:6" x14ac:dyDescent="0.25">
      <c r="A1" s="1" t="s">
        <v>0</v>
      </c>
      <c r="B1" s="1"/>
      <c r="C1" s="1"/>
      <c r="D1" s="1"/>
      <c r="E1" s="1"/>
      <c r="F1" s="1"/>
    </row>
    <row r="2" ht="15.75" customHeight="1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ht="15.75" customHeight="1" spans="1:6" x14ac:dyDescent="0.25">
      <c r="A6" s="3" t="s">
        <v>3</v>
      </c>
      <c r="B6" s="4" t="s">
        <v>4</v>
      </c>
      <c r="C6" s="4"/>
      <c r="D6" s="4"/>
      <c r="E6" s="3" t="s">
        <v>5</v>
      </c>
      <c r="F6" s="5">
        <v>46189</v>
      </c>
    </row>
    <row r="7" ht="31.5" customHeight="1" spans="1:6" x14ac:dyDescent="0.25">
      <c r="A7" s="3" t="s">
        <v>6</v>
      </c>
      <c r="B7" s="6" t="str">
        <f>VLOOKUP(B6,[1]DATA!$A$2:$C$28,2,0)</f>
        <v>Số 3, đường 18, khu hành chính Nhị Đồng 2, Phường Dĩ An, Thành phố Dĩ An, Tỉnh Bình Dương, Việt Nam</v>
      </c>
      <c r="C7" s="6"/>
      <c r="D7" s="6"/>
      <c r="E7" s="7" t="s">
        <v>7</v>
      </c>
      <c r="F7" s="8" t="str">
        <f>"ĐMH-"&amp;G6&amp;"-"&amp;TEXT(F6,"yymmdd")&amp;"-"&amp;G7</f>
        <v>ĐMH--260616-</v>
      </c>
    </row>
    <row r="8" ht="15.75" customHeight="1" spans="1:6" x14ac:dyDescent="0.25">
      <c r="A8" s="3" t="s">
        <v>8</v>
      </c>
      <c r="B8" s="1" t="str">
        <f>VLOOKUP(B6,[1]DATA!$A$2:$C$28,3,0)</f>
        <v>3702420748</v>
      </c>
      <c r="C8" s="1"/>
      <c r="D8" s="1"/>
      <c r="E8" s="3" t="s">
        <v>9</v>
      </c>
      <c r="F8" s="9" t="s">
        <v>10</v>
      </c>
    </row>
    <row r="9" ht="15.75" customHeight="1" spans="1:6" x14ac:dyDescent="0.25">
      <c r="A9" s="3" t="s">
        <v>11</v>
      </c>
      <c r="B9" s="1" t="s">
        <v>12</v>
      </c>
      <c r="C9" s="1"/>
      <c r="D9" s="1"/>
      <c r="E9" s="3" t="s">
        <v>13</v>
      </c>
      <c r="F9" s="9" t="s">
        <v>12</v>
      </c>
    </row>
    <row r="10" ht="15.75" customHeight="1" spans="1:6" x14ac:dyDescent="0.25">
      <c r="A10" s="3" t="s">
        <v>14</v>
      </c>
      <c r="B10" s="10"/>
      <c r="C10" s="10"/>
      <c r="D10" s="10"/>
      <c r="E10" s="10"/>
      <c r="F10" s="10"/>
    </row>
    <row r="11" ht="15.75" customHeight="1" spans="1:6" x14ac:dyDescent="0.25">
      <c r="A11" s="3"/>
      <c r="B11" s="11"/>
      <c r="C11" s="10" t="s">
        <v>12</v>
      </c>
      <c r="D11" s="11"/>
      <c r="E11" s="11"/>
      <c r="F11" s="11"/>
    </row>
    <row r="12" ht="15.75" customHeight="1" spans="1:6" x14ac:dyDescent="0.25">
      <c r="A12" s="12" t="s">
        <v>15</v>
      </c>
      <c r="B12" s="13" t="s">
        <v>14</v>
      </c>
      <c r="C12" s="13" t="s">
        <v>16</v>
      </c>
      <c r="D12" s="12" t="s">
        <v>17</v>
      </c>
      <c r="E12" s="12" t="s">
        <v>18</v>
      </c>
      <c r="F12" s="12" t="s">
        <v>19</v>
      </c>
    </row>
    <row r="13" ht="31.5" customHeight="1" spans="1:6" x14ac:dyDescent="0.25">
      <c r="A13" s="14" t="s">
        <v>20</v>
      </c>
      <c r="B13" s="14" t="str">
        <f>"Hạt nhựa "&amp;A13</f>
        <v>Hạt nhựa LLDPE FD21HN</v>
      </c>
      <c r="C13" s="15" t="s">
        <v>21</v>
      </c>
      <c r="D13" s="16">
        <v>123750</v>
      </c>
      <c r="E13" s="17">
        <v>25879.6296</v>
      </c>
      <c r="F13" s="18">
        <f>+D13*E13+10</f>
        <v>3202604173</v>
      </c>
    </row>
    <row r="14" ht="31.5" customHeight="1" spans="1:6" x14ac:dyDescent="0.25">
      <c r="A14" s="14" t="s">
        <v>22</v>
      </c>
      <c r="B14" s="14" t="str">
        <f t="shared" ref="B14" si="0">"Hạt nhựa "&amp;A14</f>
        <v>Hạt nhựa LLDPE FD21HS</v>
      </c>
      <c r="C14" s="15" t="s">
        <v>21</v>
      </c>
      <c r="D14" s="16">
        <v>123750</v>
      </c>
      <c r="E14" s="17">
        <v>32453.7037</v>
      </c>
      <c r="F14" s="18">
        <f t="shared" ref="F14" si="1">+D14*E14+10</f>
        <v>4016145842.875</v>
      </c>
    </row>
    <row r="15" ht="31.5" customHeight="1" spans="1:6" x14ac:dyDescent="0.25">
      <c r="A15" s="14"/>
      <c r="B15" s="14">
        <f>"Hạt nhựa "&amp;A15</f>
      </c>
      <c r="C15" s="15"/>
      <c r="D15" s="16"/>
      <c r="E15" s="17"/>
      <c r="F15" s="18">
        <f>+D15*E15+10</f>
      </c>
    </row>
    <row r="16" ht="31.5" customHeight="1" spans="1:6" x14ac:dyDescent="0.25">
      <c r="A16" s="14"/>
      <c r="B16" s="14">
        <f>"Hạt nhựa "&amp;A16</f>
      </c>
      <c r="C16" s="15"/>
      <c r="D16" s="16"/>
      <c r="E16" s="17"/>
      <c r="F16" s="18">
        <f>+D16*E16+10</f>
      </c>
    </row>
    <row r="17" ht="31.5" customHeight="1" spans="1:6" x14ac:dyDescent="0.25">
      <c r="A17" s="14"/>
      <c r="B17" s="14">
        <f>"Hạt nhựa "&amp;A17</f>
      </c>
      <c r="C17" s="15"/>
      <c r="D17" s="16"/>
      <c r="E17" s="17"/>
      <c r="F17" s="18">
        <f>+D17*E17+10</f>
      </c>
    </row>
    <row r="18" ht="15.75" customHeight="1" spans="1:6" x14ac:dyDescent="0.25">
      <c r="A18" s="19" t="s">
        <v>23</v>
      </c>
      <c r="B18" s="19"/>
      <c r="C18" s="20">
        <v>0.08</v>
      </c>
      <c r="D18" s="19" t="s">
        <v>24</v>
      </c>
      <c r="E18" s="19"/>
      <c r="F18" s="21">
        <f>SUM(F13:F17)</f>
      </c>
    </row>
    <row r="19" ht="15.75" customHeight="1" spans="1:6" x14ac:dyDescent="0.25">
      <c r="A19" s="19"/>
      <c r="B19" s="19"/>
      <c r="C19" s="20"/>
      <c r="D19" s="22" t="s">
        <v>25</v>
      </c>
      <c r="E19" s="22"/>
      <c r="F19" s="23">
        <f>F18*C19</f>
      </c>
    </row>
    <row r="20" ht="15.75" customHeight="1" spans="1:6" x14ac:dyDescent="0.25">
      <c r="A20" s="19"/>
      <c r="B20" s="19"/>
      <c r="C20" s="20"/>
      <c r="D20" s="24" t="s">
        <v>26</v>
      </c>
      <c r="E20" s="24"/>
      <c r="F20" s="25">
        <f>ROUND(F18+F19,0)</f>
      </c>
    </row>
    <row r="21" spans="1:6" x14ac:dyDescent="0.25">
      <c r="A21" s="24" t="s">
        <v>27</v>
      </c>
      <c r="B21" s="24"/>
      <c r="C21" s="26" t="str">
        <f>[2]!VND(F17)</f>
        <v>Bảy tỷ, bảy trăm chín mươi sáu triệu, hai trăm năm mươi ngàn, mười bảy đồng chẵn</v>
      </c>
      <c r="D21" s="26"/>
      <c r="E21" s="26"/>
      <c r="F21" s="26"/>
    </row>
    <row r="22" spans="1:6" x14ac:dyDescent="0.25">
      <c r="A22" s="24"/>
      <c r="B22" s="24"/>
      <c r="C22" s="26"/>
      <c r="D22" s="26"/>
      <c r="E22" s="26"/>
      <c r="F22" s="26"/>
    </row>
    <row r="23" ht="15.75" customHeight="1" spans="1:6" x14ac:dyDescent="0.25">
      <c r="A23" s="1"/>
      <c r="B23" s="1"/>
      <c r="C23" s="4"/>
      <c r="D23" s="4"/>
      <c r="E23" s="4"/>
      <c r="F23" s="4"/>
    </row>
    <row r="24" ht="15.75" customHeight="1" spans="1:6" x14ac:dyDescent="0.25">
      <c r="A24" s="1" t="s">
        <v>28</v>
      </c>
      <c r="B24" s="1"/>
      <c r="C24" s="27" t="str">
        <f>"Kể từ ngày "&amp;TEXT(F6,"DD/MM/YYYY")</f>
        <v>Kể từ ngày 16/06/2026</v>
      </c>
      <c r="D24" s="27"/>
      <c r="E24" s="27"/>
      <c r="F24" s="27"/>
    </row>
    <row r="25" ht="15.75" customHeight="1" spans="1:6" x14ac:dyDescent="0.25">
      <c r="A25" s="1" t="s">
        <v>29</v>
      </c>
      <c r="B25" s="1"/>
      <c r="C25" s="28" t="s">
        <v>30</v>
      </c>
      <c r="D25" s="28"/>
      <c r="E25" s="28"/>
      <c r="F25" s="28"/>
    </row>
    <row r="26" ht="15.75" customHeight="1" spans="1:6" x14ac:dyDescent="0.25">
      <c r="A26" s="1" t="s">
        <v>31</v>
      </c>
      <c r="B26" s="1"/>
      <c r="C26" s="28" t="s">
        <v>12</v>
      </c>
      <c r="D26" s="28"/>
      <c r="E26" s="28"/>
      <c r="F26" s="28"/>
    </row>
    <row r="27" ht="15.75" customHeight="1" spans="1:6" x14ac:dyDescent="0.25">
      <c r="A27" s="1" t="s">
        <v>32</v>
      </c>
      <c r="B27" s="1"/>
      <c r="C27" s="28" t="s">
        <v>12</v>
      </c>
      <c r="D27" s="28"/>
      <c r="E27" s="28"/>
      <c r="F27" s="28"/>
    </row>
  </sheetData>
  <mergeCells count="22">
    <mergeCell ref="A1:F1"/>
    <mergeCell ref="A2:F2"/>
    <mergeCell ref="A3:F5"/>
    <mergeCell ref="B6:D6"/>
    <mergeCell ref="B7:D7"/>
    <mergeCell ref="B8:D8"/>
    <mergeCell ref="B9:D9"/>
    <mergeCell ref="B10:F10"/>
    <mergeCell ref="A18:B20"/>
    <mergeCell ref="D18:E18"/>
    <mergeCell ref="C18:C20"/>
    <mergeCell ref="D19:E19"/>
    <mergeCell ref="D20:E20"/>
    <mergeCell ref="A21:B22"/>
    <mergeCell ref="C21:F22"/>
    <mergeCell ref="A24:B24"/>
    <mergeCell ref="A25:B25"/>
    <mergeCell ref="C25:F25"/>
    <mergeCell ref="A26:B26"/>
    <mergeCell ref="C26:F26"/>
    <mergeCell ref="A27:B27"/>
    <mergeCell ref="C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Evans</dc:creator>
  <cp:lastModifiedBy>Linh Evans</cp:lastModifiedBy>
  <dcterms:created xsi:type="dcterms:W3CDTF">2026-06-24T07:34:25Z</dcterms:created>
  <dcterms:modified xsi:type="dcterms:W3CDTF">2026-06-24T07:34:56Z</dcterms:modified>
</cp:coreProperties>
</file>